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3C0A1A7F-8191-46AD-9666-7394068A9E51}" xr6:coauthVersionLast="47" xr6:coauthVersionMax="47" xr10:uidLastSave="{00000000-0000-0000-0000-000000000000}"/>
  <bookViews>
    <workbookView xWindow="240" yWindow="105" windowWidth="14805" windowHeight="8010" firstSheet="10" activeTab="1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1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2" i="4"/>
  <c r="B4" i="11"/>
  <c r="B3" i="11"/>
  <c r="B2" i="11"/>
  <c r="F3" i="10"/>
  <c r="F4" i="10"/>
  <c r="F5" i="10"/>
  <c r="F6" i="10"/>
  <c r="F2" i="10"/>
  <c r="E3" i="10"/>
  <c r="E4" i="10"/>
  <c r="E5" i="10"/>
  <c r="E6" i="10"/>
  <c r="E2" i="10"/>
  <c r="D3" i="10"/>
  <c r="D4" i="10"/>
  <c r="D5" i="10"/>
  <c r="D6" i="10"/>
  <c r="D2" i="10"/>
  <c r="C3" i="10"/>
  <c r="C4" i="10"/>
  <c r="C5" i="10"/>
  <c r="C6" i="10"/>
  <c r="C2" i="10"/>
  <c r="D2" i="2"/>
  <c r="G3" i="3"/>
  <c r="G4" i="3"/>
  <c r="G5" i="3"/>
  <c r="G6" i="3"/>
  <c r="G2" i="3"/>
  <c r="D3" i="3"/>
  <c r="D4" i="3"/>
  <c r="D5" i="3"/>
  <c r="D6" i="3"/>
  <c r="D2" i="3"/>
  <c r="E3" i="2"/>
  <c r="E4" i="2"/>
  <c r="E5" i="2"/>
  <c r="E6" i="2"/>
  <c r="E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<sst xmlns="http://schemas.openxmlformats.org/spreadsheetml/2006/main" count="137" uniqueCount="87">
  <si>
    <t>Date</t>
  </si>
  <si>
    <t>Songs</t>
  </si>
  <si>
    <t>Artist</t>
  </si>
  <si>
    <t>Durarion (seconds)</t>
  </si>
  <si>
    <t>Duration(minutes)</t>
  </si>
  <si>
    <t>Popularity Score</t>
  </si>
  <si>
    <t>Chart Rank</t>
  </si>
  <si>
    <t>Pink Venom</t>
  </si>
  <si>
    <t>BLACKPINK</t>
  </si>
  <si>
    <t>Shut Down</t>
  </si>
  <si>
    <t>How You Like That</t>
  </si>
  <si>
    <t xml:space="preserve">Kill This Love </t>
  </si>
  <si>
    <t>Lovesick Girls</t>
  </si>
  <si>
    <t>DDU-DU-DDU-DU</t>
  </si>
  <si>
    <t>Boombayah</t>
  </si>
  <si>
    <t>Whistle</t>
  </si>
  <si>
    <t>Playing With Fire</t>
  </si>
  <si>
    <t xml:space="preserve">As If It's Your Lat </t>
  </si>
  <si>
    <t>Song Name</t>
  </si>
  <si>
    <t>Exit Date</t>
  </si>
  <si>
    <t xml:space="preserve">Re-Entry Date </t>
  </si>
  <si>
    <t>No. of Re-Entries</t>
  </si>
  <si>
    <t>Gap(Days)</t>
  </si>
  <si>
    <t xml:space="preserve">Pink Venom </t>
  </si>
  <si>
    <t>Kill This Love</t>
  </si>
  <si>
    <t xml:space="preserve">Song Name </t>
  </si>
  <si>
    <t>Previously Popularity</t>
  </si>
  <si>
    <t>Current Popularity</t>
  </si>
  <si>
    <t xml:space="preserve">Popularity Change </t>
  </si>
  <si>
    <t xml:space="preserve">Previous Rank </t>
  </si>
  <si>
    <t xml:space="preserve">Current Rank </t>
  </si>
  <si>
    <t xml:space="preserve">Rank Jump </t>
  </si>
  <si>
    <t xml:space="preserve">Shut Down </t>
  </si>
  <si>
    <t xml:space="preserve">Lovesick Girls </t>
  </si>
  <si>
    <t>Initial Popularity</t>
  </si>
  <si>
    <t>Final Popularity</t>
  </si>
  <si>
    <t xml:space="preserve">Initial Rank </t>
  </si>
  <si>
    <t xml:space="preserve">Final Rank </t>
  </si>
  <si>
    <t>Sustanabiity(Days)</t>
  </si>
  <si>
    <t xml:space="preserve">Status </t>
  </si>
  <si>
    <t>High</t>
  </si>
  <si>
    <t xml:space="preserve">How You Like That </t>
  </si>
  <si>
    <t>Medium</t>
  </si>
  <si>
    <t xml:space="preserve">Kil This Love </t>
  </si>
  <si>
    <t>Low</t>
  </si>
  <si>
    <t xml:space="preserve">Whistle </t>
  </si>
  <si>
    <t xml:space="preserve">Playing With Fire </t>
  </si>
  <si>
    <t xml:space="preserve"> As If It's Your Last </t>
  </si>
  <si>
    <t xml:space="preserve">Forever Young </t>
  </si>
  <si>
    <t xml:space="preserve">Stay </t>
  </si>
  <si>
    <t xml:space="preserve"> Pretty Savage </t>
  </si>
  <si>
    <t xml:space="preserve">Typa Girl </t>
  </si>
  <si>
    <t xml:space="preserve">The Happiest Girl </t>
  </si>
  <si>
    <t>Album Type</t>
  </si>
  <si>
    <t>No. of Songs</t>
  </si>
  <si>
    <t>Avg. Population</t>
  </si>
  <si>
    <t xml:space="preserve">Avg. chart rank </t>
  </si>
  <si>
    <t>Single</t>
  </si>
  <si>
    <t xml:space="preserve">Album </t>
  </si>
  <si>
    <t>No. of songs</t>
  </si>
  <si>
    <t>Avg. Popularity</t>
  </si>
  <si>
    <t>Avg chart rank</t>
  </si>
  <si>
    <t>Album Size</t>
  </si>
  <si>
    <t>Resurgence Level</t>
  </si>
  <si>
    <t xml:space="preserve">Smaller Album </t>
  </si>
  <si>
    <t>Large Album</t>
  </si>
  <si>
    <t xml:space="preserve">Medium </t>
  </si>
  <si>
    <t>Duration Range</t>
  </si>
  <si>
    <t>Spike Magnitude</t>
  </si>
  <si>
    <t>3-3.5 min</t>
  </si>
  <si>
    <t>3.5-4 min</t>
  </si>
  <si>
    <t>Content Type</t>
  </si>
  <si>
    <t>Clean</t>
  </si>
  <si>
    <t>Explicit</t>
  </si>
  <si>
    <t>0(Not Available)</t>
  </si>
  <si>
    <t>Re- entry Frequency</t>
  </si>
  <si>
    <t xml:space="preserve">Popularity Spike Sharpeness </t>
  </si>
  <si>
    <t>Rank Recovery Speed</t>
  </si>
  <si>
    <t>Fandom Engagement Score</t>
  </si>
  <si>
    <t>Engagement Level</t>
  </si>
  <si>
    <t>KPI Name</t>
  </si>
  <si>
    <t xml:space="preserve">KPI Value </t>
  </si>
  <si>
    <t>Re-Entry Frequency</t>
  </si>
  <si>
    <t>Momentum Spike Score</t>
  </si>
  <si>
    <t>Post-Comeback Retention Days</t>
  </si>
  <si>
    <t xml:space="preserve">Album Comeback Advantage Index </t>
  </si>
  <si>
    <t xml:space="preserve">Fandom Intensity Proxy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</si>
</sst>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F16" sqref="F16"/>
    </sheetView>
  </sheetViews>
  <sheetFormatPr defaultRowHeight="15"/>
  <cols>
    <col min="1" max="1" width="11.140625" bestFit="1" customWidth="1"/>
    <col min="2" max="2" width="16.28515625" customWidth="1"/>
    <col min="3" max="3" width="10.140625" customWidth="1"/>
    <col min="4" max="4" width="17.5703125" customWidth="1"/>
    <col min="5" max="5" width="16.85546875" customWidth="1"/>
    <col min="6" max="6" width="14.7109375" customWidth="1"/>
    <col min="7" max="7" width="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45296</v>
      </c>
      <c r="B2" t="s">
        <v>7</v>
      </c>
      <c r="C2" t="s">
        <v>8</v>
      </c>
      <c r="D2">
        <v>187</v>
      </c>
      <c r="E2">
        <f>ROUND(D2/60,2)</f>
        <v>3.12</v>
      </c>
      <c r="F2">
        <v>98</v>
      </c>
      <c r="G2">
        <v>1</v>
      </c>
    </row>
    <row r="3" spans="1:7">
      <c r="A3" s="1">
        <v>45303</v>
      </c>
      <c r="B3" t="s">
        <v>9</v>
      </c>
      <c r="C3" t="s">
        <v>8</v>
      </c>
      <c r="D3">
        <v>154</v>
      </c>
      <c r="E3">
        <f t="shared" ref="E3:E11" si="0">ROUND(D3/60,2)</f>
        <v>2.57</v>
      </c>
      <c r="F3">
        <v>96</v>
      </c>
      <c r="G3">
        <v>2</v>
      </c>
    </row>
    <row r="4" spans="1:7">
      <c r="A4" s="1">
        <v>45317</v>
      </c>
      <c r="B4" t="s">
        <v>10</v>
      </c>
      <c r="C4" t="s">
        <v>8</v>
      </c>
      <c r="D4">
        <v>182</v>
      </c>
      <c r="E4">
        <f t="shared" si="0"/>
        <v>3.03</v>
      </c>
      <c r="F4">
        <v>95</v>
      </c>
      <c r="G4">
        <v>3</v>
      </c>
    </row>
    <row r="5" spans="1:7">
      <c r="A5" s="1">
        <v>45331</v>
      </c>
      <c r="B5" t="s">
        <v>11</v>
      </c>
      <c r="C5" t="s">
        <v>8</v>
      </c>
      <c r="D5">
        <v>194</v>
      </c>
      <c r="E5">
        <f t="shared" si="0"/>
        <v>3.23</v>
      </c>
      <c r="F5">
        <v>93</v>
      </c>
      <c r="G5">
        <v>4</v>
      </c>
    </row>
    <row r="6" spans="1:7">
      <c r="A6" s="1">
        <v>45345</v>
      </c>
      <c r="B6" t="s">
        <v>12</v>
      </c>
      <c r="C6" t="s">
        <v>8</v>
      </c>
      <c r="D6">
        <v>200</v>
      </c>
      <c r="E6">
        <f t="shared" si="0"/>
        <v>3.33</v>
      </c>
      <c r="F6">
        <v>91</v>
      </c>
      <c r="G6">
        <v>5</v>
      </c>
    </row>
    <row r="7" spans="1:7">
      <c r="A7" s="1">
        <v>45359</v>
      </c>
      <c r="B7" t="s">
        <v>13</v>
      </c>
      <c r="C7" t="s">
        <v>8</v>
      </c>
      <c r="D7">
        <v>209</v>
      </c>
      <c r="E7">
        <f t="shared" si="0"/>
        <v>3.48</v>
      </c>
      <c r="F7">
        <v>94</v>
      </c>
      <c r="G7">
        <v>6</v>
      </c>
    </row>
    <row r="8" spans="1:7">
      <c r="A8" s="2">
        <v>45373</v>
      </c>
      <c r="B8" t="s">
        <v>14</v>
      </c>
      <c r="C8" t="s">
        <v>8</v>
      </c>
      <c r="D8">
        <v>240</v>
      </c>
      <c r="E8">
        <f t="shared" si="0"/>
        <v>4</v>
      </c>
      <c r="F8">
        <v>90</v>
      </c>
      <c r="G8">
        <v>7</v>
      </c>
    </row>
    <row r="9" spans="1:7">
      <c r="A9" s="1">
        <v>45387</v>
      </c>
      <c r="B9" t="s">
        <v>15</v>
      </c>
      <c r="C9" t="s">
        <v>8</v>
      </c>
      <c r="D9">
        <v>212</v>
      </c>
      <c r="E9">
        <f t="shared" si="0"/>
        <v>3.53</v>
      </c>
      <c r="F9">
        <v>89</v>
      </c>
      <c r="G9">
        <v>8</v>
      </c>
    </row>
    <row r="10" spans="1:7">
      <c r="A10" s="1">
        <v>45401</v>
      </c>
      <c r="B10" t="s">
        <v>16</v>
      </c>
      <c r="C10" t="s">
        <v>8</v>
      </c>
      <c r="D10">
        <v>209</v>
      </c>
      <c r="E10">
        <f t="shared" si="0"/>
        <v>3.48</v>
      </c>
      <c r="F10">
        <v>88</v>
      </c>
      <c r="G10">
        <v>9</v>
      </c>
    </row>
    <row r="11" spans="1:7">
      <c r="A11" s="1">
        <v>45415</v>
      </c>
      <c r="B11" t="s">
        <v>17</v>
      </c>
      <c r="C11" t="s">
        <v>8</v>
      </c>
      <c r="D11">
        <v>214</v>
      </c>
      <c r="E11">
        <f t="shared" si="0"/>
        <v>3.57</v>
      </c>
      <c r="F11">
        <v>92</v>
      </c>
      <c r="G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6694-F90E-4D29-B4F2-5F68B94DA216}">
  <dimension ref="A1:E6"/>
  <sheetViews>
    <sheetView workbookViewId="0">
      <selection activeCell="E11" sqref="E11"/>
    </sheetView>
  </sheetViews>
  <sheetFormatPr defaultRowHeight="15"/>
  <cols>
    <col min="1" max="1" width="16.140625" customWidth="1"/>
    <col min="2" max="2" width="11.140625" bestFit="1" customWidth="1"/>
    <col min="3" max="3" width="12.7109375" customWidth="1"/>
    <col min="4" max="4" width="14.85546875" customWidth="1"/>
    <col min="5" max="5" width="10.140625" customWidth="1"/>
  </cols>
  <sheetData>
    <row r="1" spans="1:5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23</v>
      </c>
      <c r="B2" s="1">
        <v>45366</v>
      </c>
      <c r="C2" s="1">
        <v>45387</v>
      </c>
      <c r="D2">
        <f>Sheet2!E2</f>
        <v>21</v>
      </c>
      <c r="E2">
        <f>C2-B2</f>
        <v>21</v>
      </c>
    </row>
    <row r="3" spans="1:5">
      <c r="A3" t="s">
        <v>9</v>
      </c>
      <c r="B3" s="1">
        <v>45402</v>
      </c>
      <c r="C3" s="1">
        <v>45430</v>
      </c>
      <c r="D3">
        <v>1</v>
      </c>
      <c r="E3">
        <f t="shared" ref="E3:E6" si="0">C3-B3</f>
        <v>28</v>
      </c>
    </row>
    <row r="4" spans="1:5">
      <c r="A4" t="s">
        <v>10</v>
      </c>
      <c r="B4" s="1">
        <v>45422</v>
      </c>
      <c r="C4" s="1">
        <v>45450</v>
      </c>
      <c r="D4">
        <v>1</v>
      </c>
      <c r="E4">
        <f t="shared" si="0"/>
        <v>28</v>
      </c>
    </row>
    <row r="5" spans="1:5">
      <c r="A5" t="s">
        <v>24</v>
      </c>
      <c r="B5" s="1">
        <v>45468</v>
      </c>
      <c r="C5" s="1">
        <v>45489</v>
      </c>
      <c r="D5">
        <v>1</v>
      </c>
      <c r="E5">
        <f t="shared" si="0"/>
        <v>21</v>
      </c>
    </row>
    <row r="6" spans="1:5">
      <c r="A6" t="s">
        <v>12</v>
      </c>
      <c r="B6" s="1">
        <v>45503</v>
      </c>
      <c r="C6" s="1">
        <v>45531</v>
      </c>
      <c r="D6">
        <v>1</v>
      </c>
      <c r="E6">
        <f t="shared" si="0"/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1E29-27CE-468B-A249-D45CB01657D0}">
  <dimension ref="A1:G6"/>
  <sheetViews>
    <sheetView workbookViewId="0">
      <selection activeCell="C27" sqref="C27"/>
    </sheetView>
  </sheetViews>
  <sheetFormatPr defaultRowHeight="15"/>
  <cols>
    <col min="1" max="1" width="16" customWidth="1"/>
    <col min="2" max="2" width="18.7109375" customWidth="1"/>
    <col min="3" max="3" width="16.7109375" customWidth="1"/>
    <col min="4" max="4" width="16.28515625" customWidth="1"/>
    <col min="5" max="6" width="12.5703125" customWidth="1"/>
    <col min="7" max="7" width="10.5703125" customWidth="1"/>
  </cols>
  <sheetData>
    <row r="1" spans="1:7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>
      <c r="A2" t="s">
        <v>7</v>
      </c>
      <c r="B2">
        <v>90</v>
      </c>
      <c r="C2">
        <v>98</v>
      </c>
      <c r="D2">
        <f>C2-B2</f>
        <v>8</v>
      </c>
      <c r="E2">
        <v>8</v>
      </c>
      <c r="F2">
        <v>1</v>
      </c>
      <c r="G2">
        <f>E2-F2</f>
        <v>7</v>
      </c>
    </row>
    <row r="3" spans="1:7">
      <c r="A3" t="s">
        <v>32</v>
      </c>
      <c r="B3">
        <v>89</v>
      </c>
      <c r="C3">
        <v>96</v>
      </c>
      <c r="D3">
        <f t="shared" ref="D3:D6" si="0">C3-B3</f>
        <v>7</v>
      </c>
      <c r="E3">
        <v>7</v>
      </c>
      <c r="F3">
        <v>2</v>
      </c>
      <c r="G3">
        <f t="shared" ref="G3:G6" si="1">E3-F3</f>
        <v>5</v>
      </c>
    </row>
    <row r="4" spans="1:7">
      <c r="A4" t="s">
        <v>10</v>
      </c>
      <c r="B4">
        <v>88</v>
      </c>
      <c r="C4">
        <v>95</v>
      </c>
      <c r="D4">
        <f t="shared" si="0"/>
        <v>7</v>
      </c>
      <c r="E4">
        <v>6</v>
      </c>
      <c r="F4">
        <v>3</v>
      </c>
      <c r="G4">
        <f t="shared" si="1"/>
        <v>3</v>
      </c>
    </row>
    <row r="5" spans="1:7">
      <c r="A5" t="s">
        <v>11</v>
      </c>
      <c r="B5">
        <v>86</v>
      </c>
      <c r="C5">
        <v>93</v>
      </c>
      <c r="D5">
        <f t="shared" si="0"/>
        <v>7</v>
      </c>
      <c r="E5">
        <v>9</v>
      </c>
      <c r="F5">
        <v>4</v>
      </c>
      <c r="G5">
        <f t="shared" si="1"/>
        <v>5</v>
      </c>
    </row>
    <row r="6" spans="1:7">
      <c r="A6" t="s">
        <v>33</v>
      </c>
      <c r="B6">
        <v>84</v>
      </c>
      <c r="C6">
        <v>91</v>
      </c>
      <c r="D6">
        <f t="shared" si="0"/>
        <v>7</v>
      </c>
      <c r="E6">
        <v>10</v>
      </c>
      <c r="F6">
        <v>5</v>
      </c>
      <c r="G6">
        <f t="shared" si="1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02F6-DA26-4C03-B08C-98E989BD2602}">
  <dimension ref="A1:H16"/>
  <sheetViews>
    <sheetView workbookViewId="0">
      <selection activeCell="H2" sqref="H2:H16"/>
    </sheetView>
  </sheetViews>
  <sheetFormatPr defaultRowHeight="15"/>
  <cols>
    <col min="1" max="1" width="16.140625" customWidth="1"/>
    <col min="2" max="2" width="14.42578125" customWidth="1"/>
    <col min="3" max="3" width="13.85546875" customWidth="1"/>
    <col min="4" max="4" width="10.140625" customWidth="1"/>
    <col min="5" max="5" width="10" customWidth="1"/>
    <col min="6" max="6" width="16.28515625" customWidth="1"/>
  </cols>
  <sheetData>
    <row r="1" spans="1:8">
      <c r="A1" t="s">
        <v>25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</row>
    <row r="2" spans="1:8">
      <c r="A2" t="s">
        <v>7</v>
      </c>
      <c r="B2">
        <v>98</v>
      </c>
      <c r="C2">
        <v>95</v>
      </c>
      <c r="D2">
        <v>5</v>
      </c>
      <c r="E2">
        <v>2</v>
      </c>
      <c r="F2">
        <v>30</v>
      </c>
      <c r="G2" t="s">
        <v>40</v>
      </c>
      <c r="H2">
        <f>(D2-E2)/F2</f>
        <v>0.1</v>
      </c>
    </row>
    <row r="3" spans="1:8">
      <c r="A3" t="s">
        <v>9</v>
      </c>
      <c r="B3">
        <v>96</v>
      </c>
      <c r="C3">
        <v>93</v>
      </c>
      <c r="D3">
        <v>7</v>
      </c>
      <c r="E3">
        <v>4</v>
      </c>
      <c r="F3">
        <v>28</v>
      </c>
      <c r="G3" t="s">
        <v>40</v>
      </c>
      <c r="H3">
        <f t="shared" ref="H3:H16" si="0">(D3-E3)/F3</f>
        <v>0.10714285714285714</v>
      </c>
    </row>
    <row r="4" spans="1:8">
      <c r="A4" t="s">
        <v>41</v>
      </c>
      <c r="B4">
        <v>95</v>
      </c>
      <c r="C4">
        <v>91</v>
      </c>
      <c r="D4">
        <v>8</v>
      </c>
      <c r="E4">
        <v>5</v>
      </c>
      <c r="F4">
        <v>25</v>
      </c>
      <c r="G4" t="s">
        <v>42</v>
      </c>
      <c r="H4">
        <f t="shared" si="0"/>
        <v>0.12</v>
      </c>
    </row>
    <row r="5" spans="1:8">
      <c r="A5" t="s">
        <v>43</v>
      </c>
      <c r="B5">
        <v>93</v>
      </c>
      <c r="C5">
        <v>89</v>
      </c>
      <c r="D5">
        <v>10</v>
      </c>
      <c r="E5">
        <v>7</v>
      </c>
      <c r="F5">
        <v>22</v>
      </c>
      <c r="G5" t="s">
        <v>42</v>
      </c>
      <c r="H5">
        <f t="shared" si="0"/>
        <v>0.13636363636363635</v>
      </c>
    </row>
    <row r="6" spans="1:8">
      <c r="A6" t="s">
        <v>33</v>
      </c>
      <c r="B6">
        <v>91</v>
      </c>
      <c r="C6">
        <v>86</v>
      </c>
      <c r="D6">
        <v>12</v>
      </c>
      <c r="E6">
        <v>9</v>
      </c>
      <c r="F6">
        <v>20</v>
      </c>
      <c r="G6" t="s">
        <v>44</v>
      </c>
      <c r="H6">
        <f t="shared" si="0"/>
        <v>0.15</v>
      </c>
    </row>
    <row r="7" spans="1:8">
      <c r="A7" t="s">
        <v>13</v>
      </c>
      <c r="B7">
        <v>94</v>
      </c>
      <c r="C7">
        <v>90</v>
      </c>
      <c r="D7">
        <v>9</v>
      </c>
      <c r="E7">
        <v>8</v>
      </c>
      <c r="F7">
        <v>27</v>
      </c>
      <c r="G7" s="3" t="s">
        <v>42</v>
      </c>
      <c r="H7">
        <f t="shared" si="0"/>
        <v>3.7037037037037035E-2</v>
      </c>
    </row>
    <row r="8" spans="1:8">
      <c r="A8" t="s">
        <v>14</v>
      </c>
      <c r="B8">
        <v>90</v>
      </c>
      <c r="C8">
        <v>84</v>
      </c>
      <c r="D8">
        <v>14</v>
      </c>
      <c r="E8">
        <v>11</v>
      </c>
      <c r="F8">
        <v>18</v>
      </c>
      <c r="G8" t="s">
        <v>44</v>
      </c>
      <c r="H8">
        <f t="shared" si="0"/>
        <v>0.16666666666666666</v>
      </c>
    </row>
    <row r="9" spans="1:8">
      <c r="A9" t="s">
        <v>45</v>
      </c>
      <c r="B9">
        <v>89</v>
      </c>
      <c r="C9">
        <v>85</v>
      </c>
      <c r="D9">
        <v>11</v>
      </c>
      <c r="E9">
        <v>10</v>
      </c>
      <c r="F9">
        <v>21</v>
      </c>
      <c r="G9" s="3" t="s">
        <v>42</v>
      </c>
      <c r="H9">
        <f t="shared" si="0"/>
        <v>4.7619047619047616E-2</v>
      </c>
    </row>
    <row r="10" spans="1:8">
      <c r="A10" t="s">
        <v>46</v>
      </c>
      <c r="B10">
        <v>88</v>
      </c>
      <c r="C10">
        <v>83</v>
      </c>
      <c r="D10">
        <v>15</v>
      </c>
      <c r="E10">
        <v>12</v>
      </c>
      <c r="F10">
        <v>17</v>
      </c>
      <c r="G10" t="s">
        <v>44</v>
      </c>
      <c r="H10">
        <f t="shared" si="0"/>
        <v>0.17647058823529413</v>
      </c>
    </row>
    <row r="11" spans="1:8">
      <c r="A11" t="s">
        <v>47</v>
      </c>
      <c r="B11">
        <v>92</v>
      </c>
      <c r="C11">
        <v>88</v>
      </c>
      <c r="D11">
        <v>13</v>
      </c>
      <c r="E11">
        <v>11</v>
      </c>
      <c r="F11">
        <v>24</v>
      </c>
      <c r="G11" t="s">
        <v>42</v>
      </c>
      <c r="H11">
        <f t="shared" si="0"/>
        <v>8.3333333333333329E-2</v>
      </c>
    </row>
    <row r="12" spans="1:8">
      <c r="A12" t="s">
        <v>48</v>
      </c>
      <c r="B12">
        <v>90</v>
      </c>
      <c r="C12">
        <v>87</v>
      </c>
      <c r="D12">
        <v>16</v>
      </c>
      <c r="E12">
        <v>14</v>
      </c>
      <c r="F12">
        <v>23</v>
      </c>
      <c r="G12" s="3" t="s">
        <v>42</v>
      </c>
      <c r="H12">
        <f t="shared" si="0"/>
        <v>8.6956521739130432E-2</v>
      </c>
    </row>
    <row r="13" spans="1:8">
      <c r="A13" t="s">
        <v>49</v>
      </c>
      <c r="B13">
        <v>87</v>
      </c>
      <c r="C13">
        <v>82</v>
      </c>
      <c r="D13">
        <v>18</v>
      </c>
      <c r="E13">
        <v>15</v>
      </c>
      <c r="F13">
        <v>16</v>
      </c>
      <c r="G13" t="s">
        <v>44</v>
      </c>
      <c r="H13">
        <f t="shared" si="0"/>
        <v>0.1875</v>
      </c>
    </row>
    <row r="14" spans="1:8">
      <c r="A14" t="s">
        <v>50</v>
      </c>
      <c r="B14">
        <v>93</v>
      </c>
      <c r="C14">
        <v>90</v>
      </c>
      <c r="D14">
        <v>6</v>
      </c>
      <c r="E14">
        <v>3</v>
      </c>
      <c r="F14">
        <v>29</v>
      </c>
      <c r="G14" t="s">
        <v>40</v>
      </c>
      <c r="H14">
        <f t="shared" si="0"/>
        <v>0.10344827586206896</v>
      </c>
    </row>
    <row r="15" spans="1:8">
      <c r="A15" t="s">
        <v>51</v>
      </c>
      <c r="B15">
        <v>94</v>
      </c>
      <c r="C15">
        <v>92</v>
      </c>
      <c r="D15">
        <v>4</v>
      </c>
      <c r="E15">
        <v>1</v>
      </c>
      <c r="F15">
        <v>31</v>
      </c>
      <c r="G15" t="s">
        <v>40</v>
      </c>
      <c r="H15">
        <f t="shared" si="0"/>
        <v>9.6774193548387094E-2</v>
      </c>
    </row>
    <row r="16" spans="1:8">
      <c r="A16" t="s">
        <v>52</v>
      </c>
      <c r="B16">
        <v>88</v>
      </c>
      <c r="C16">
        <v>84</v>
      </c>
      <c r="D16">
        <v>17</v>
      </c>
      <c r="E16">
        <v>16</v>
      </c>
      <c r="F16">
        <v>19</v>
      </c>
      <c r="G16" t="s">
        <v>44</v>
      </c>
      <c r="H16">
        <f t="shared" si="0"/>
        <v>5.2631578947368418E-2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7A50-4375-40AE-BAAF-8C948E73CEBC}">
  <dimension ref="A1:D3"/>
  <sheetViews>
    <sheetView workbookViewId="0">
      <selection activeCell="D9" sqref="D9"/>
    </sheetView>
  </sheetViews>
  <sheetFormatPr defaultRowHeight="15"/>
  <cols>
    <col min="1" max="1" width="10.85546875" customWidth="1"/>
    <col min="2" max="2" width="11.42578125" customWidth="1"/>
    <col min="3" max="3" width="13.85546875" customWidth="1"/>
    <col min="4" max="4" width="13.5703125" customWidth="1"/>
  </cols>
  <sheetData>
    <row r="1" spans="1:4">
      <c r="A1" t="s">
        <v>53</v>
      </c>
      <c r="B1" t="s">
        <v>54</v>
      </c>
      <c r="C1" t="s">
        <v>55</v>
      </c>
      <c r="D1" t="s">
        <v>56</v>
      </c>
    </row>
    <row r="2" spans="1:4">
      <c r="A2" t="s">
        <v>57</v>
      </c>
      <c r="B2">
        <v>4</v>
      </c>
      <c r="C2">
        <v>91.5</v>
      </c>
      <c r="D2">
        <v>8</v>
      </c>
    </row>
    <row r="3" spans="1:4">
      <c r="A3" t="s">
        <v>58</v>
      </c>
      <c r="B3">
        <v>6</v>
      </c>
      <c r="C3">
        <v>88.2</v>
      </c>
      <c r="D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1681-DCC3-47B1-9377-F0C0F24783EE}">
  <dimension ref="A1:D3"/>
  <sheetViews>
    <sheetView workbookViewId="0">
      <selection sqref="A1:D3"/>
    </sheetView>
  </sheetViews>
  <sheetFormatPr defaultRowHeight="15"/>
  <cols>
    <col min="1" max="1" width="10.85546875" customWidth="1"/>
    <col min="2" max="2" width="11.28515625" customWidth="1"/>
    <col min="3" max="3" width="17.140625" customWidth="1"/>
    <col min="4" max="4" width="13.28515625" customWidth="1"/>
    <col min="5" max="5" width="12.85546875" customWidth="1"/>
    <col min="6" max="6" width="11.7109375" customWidth="1"/>
  </cols>
  <sheetData>
    <row r="1" spans="1:4">
      <c r="A1" t="s">
        <v>53</v>
      </c>
      <c r="B1" t="s">
        <v>59</v>
      </c>
      <c r="C1" t="s">
        <v>60</v>
      </c>
      <c r="D1" t="s">
        <v>61</v>
      </c>
    </row>
    <row r="2" spans="1:4">
      <c r="A2" t="s">
        <v>57</v>
      </c>
      <c r="B2">
        <v>4</v>
      </c>
      <c r="C2">
        <v>91.5</v>
      </c>
      <c r="D2">
        <v>8</v>
      </c>
    </row>
    <row r="3" spans="1:4">
      <c r="A3" t="s">
        <v>58</v>
      </c>
      <c r="B3">
        <v>6</v>
      </c>
      <c r="C3">
        <v>88.2</v>
      </c>
      <c r="D3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0A70-9AE7-4390-810B-9E3B08CBFB20}">
  <dimension ref="A1:C3"/>
  <sheetViews>
    <sheetView workbookViewId="0">
      <selection sqref="A1:C3"/>
    </sheetView>
  </sheetViews>
  <sheetFormatPr defaultRowHeight="15"/>
  <cols>
    <col min="1" max="1" width="12.7109375" customWidth="1"/>
    <col min="2" max="2" width="13.5703125" customWidth="1"/>
    <col min="3" max="3" width="15.85546875" customWidth="1"/>
  </cols>
  <sheetData>
    <row r="1" spans="1:3">
      <c r="A1" t="s">
        <v>62</v>
      </c>
      <c r="B1" t="s">
        <v>60</v>
      </c>
      <c r="C1" t="s">
        <v>63</v>
      </c>
    </row>
    <row r="2" spans="1:3">
      <c r="A2" t="s">
        <v>64</v>
      </c>
      <c r="B2">
        <v>91.5</v>
      </c>
      <c r="C2" t="s">
        <v>40</v>
      </c>
    </row>
    <row r="3" spans="1:3">
      <c r="A3" t="s">
        <v>65</v>
      </c>
      <c r="B3">
        <v>88.2</v>
      </c>
      <c r="C3" t="s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AF95-132D-434F-9911-088A3AA89B28}">
  <dimension ref="A1:C3"/>
  <sheetViews>
    <sheetView workbookViewId="0">
      <selection sqref="A1:C3"/>
    </sheetView>
  </sheetViews>
  <sheetFormatPr defaultRowHeight="15"/>
  <cols>
    <col min="1" max="1" width="14.28515625" customWidth="1"/>
    <col min="2" max="2" width="13.7109375" customWidth="1"/>
    <col min="3" max="3" width="15" customWidth="1"/>
  </cols>
  <sheetData>
    <row r="1" spans="1:3">
      <c r="A1" t="s">
        <v>67</v>
      </c>
      <c r="B1" t="s">
        <v>60</v>
      </c>
      <c r="C1" t="s">
        <v>68</v>
      </c>
    </row>
    <row r="2" spans="1:3">
      <c r="A2" t="s">
        <v>69</v>
      </c>
      <c r="B2">
        <v>94</v>
      </c>
      <c r="C2" t="s">
        <v>40</v>
      </c>
    </row>
    <row r="3" spans="1:3">
      <c r="A3" t="s">
        <v>70</v>
      </c>
      <c r="B3">
        <v>90</v>
      </c>
      <c r="C3" t="s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EDEC-9568-4BF0-8F31-F02AF70DF470}">
  <dimension ref="A1:C3"/>
  <sheetViews>
    <sheetView workbookViewId="0">
      <selection sqref="A1:C3"/>
    </sheetView>
  </sheetViews>
  <sheetFormatPr defaultRowHeight="15"/>
  <cols>
    <col min="1" max="1" width="12" customWidth="1"/>
    <col min="2" max="2" width="11.5703125" customWidth="1"/>
    <col min="3" max="3" width="14.28515625" customWidth="1"/>
  </cols>
  <sheetData>
    <row r="1" spans="1:3">
      <c r="A1" t="s">
        <v>71</v>
      </c>
      <c r="B1" t="s">
        <v>54</v>
      </c>
      <c r="C1" t="s">
        <v>60</v>
      </c>
    </row>
    <row r="2" spans="1:3">
      <c r="A2" t="s">
        <v>72</v>
      </c>
      <c r="B2">
        <v>10</v>
      </c>
      <c r="C2">
        <v>91.5</v>
      </c>
    </row>
    <row r="3" spans="1:3">
      <c r="A3" t="s">
        <v>73</v>
      </c>
      <c r="B3">
        <v>0</v>
      </c>
      <c r="C3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71DE-9AF0-4B75-9F4B-C6F86A422292}">
  <dimension ref="A1:F6"/>
  <sheetViews>
    <sheetView workbookViewId="0">
      <selection activeCell="G2" sqref="G2"/>
    </sheetView>
  </sheetViews>
  <sheetFormatPr defaultRowHeight="15"/>
  <cols>
    <col min="1" max="1" width="16" customWidth="1"/>
    <col min="2" max="2" width="18.140625" customWidth="1"/>
    <col min="3" max="3" width="24.42578125" customWidth="1"/>
    <col min="4" max="4" width="18.85546875" customWidth="1"/>
    <col min="5" max="5" width="23.42578125" customWidth="1"/>
    <col min="6" max="6" width="16.42578125" customWidth="1"/>
  </cols>
  <sheetData>
    <row r="1" spans="1:6">
      <c r="A1" t="s">
        <v>18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6">
      <c r="A2" t="s">
        <v>7</v>
      </c>
      <c r="B2">
        <v>1</v>
      </c>
      <c r="C2">
        <f>Sheet3!D2/Sheet2!E2</f>
        <v>0.38095238095238093</v>
      </c>
      <c r="D2">
        <f>Sheet3!G2/Sheet2!E2</f>
        <v>0.33333333333333331</v>
      </c>
      <c r="E2">
        <f>B2*C2*D2</f>
        <v>0.12698412698412698</v>
      </c>
      <c r="F2" t="str">
        <f>IF(E2&gt;=0.1,"High",IF(E2&gt;=0.05,"Medium","Low"))</f>
        <v>High</v>
      </c>
    </row>
    <row r="3" spans="1:6">
      <c r="A3" t="s">
        <v>9</v>
      </c>
      <c r="B3">
        <v>1</v>
      </c>
      <c r="C3">
        <f>Sheet3!D3/Sheet2!E3</f>
        <v>0.25</v>
      </c>
      <c r="D3">
        <f>Sheet3!G3/Sheet2!E3</f>
        <v>0.17857142857142858</v>
      </c>
      <c r="E3">
        <f t="shared" ref="E3:E6" si="0">B3*C3*D3</f>
        <v>4.4642857142857144E-2</v>
      </c>
      <c r="F3" t="str">
        <f t="shared" ref="F3:F6" si="1">IF(E3&gt;=0.1,"High",IF(E3&gt;=0.05,"Medium","Low"))</f>
        <v>Low</v>
      </c>
    </row>
    <row r="4" spans="1:6">
      <c r="A4" t="s">
        <v>10</v>
      </c>
      <c r="B4">
        <v>1</v>
      </c>
      <c r="C4">
        <f>Sheet3!D4/Sheet2!E4</f>
        <v>0.25</v>
      </c>
      <c r="D4">
        <f>Sheet3!G4/Sheet2!E4</f>
        <v>0.10714285714285714</v>
      </c>
      <c r="E4">
        <f t="shared" si="0"/>
        <v>2.6785714285714284E-2</v>
      </c>
      <c r="F4" t="str">
        <f t="shared" si="1"/>
        <v>Low</v>
      </c>
    </row>
    <row r="5" spans="1:6">
      <c r="A5" t="s">
        <v>24</v>
      </c>
      <c r="B5">
        <v>1</v>
      </c>
      <c r="C5">
        <f>Sheet3!D5/Sheet2!E5</f>
        <v>0.33333333333333331</v>
      </c>
      <c r="D5">
        <f>Sheet3!G5/Sheet2!E5</f>
        <v>0.23809523809523808</v>
      </c>
      <c r="E5">
        <f t="shared" si="0"/>
        <v>7.9365079365079361E-2</v>
      </c>
      <c r="F5" t="str">
        <f t="shared" si="1"/>
        <v>Medium</v>
      </c>
    </row>
    <row r="6" spans="1:6">
      <c r="A6" t="s">
        <v>33</v>
      </c>
      <c r="B6">
        <v>1</v>
      </c>
      <c r="C6">
        <f>Sheet3!D6/Sheet2!E6</f>
        <v>0.25</v>
      </c>
      <c r="D6">
        <f>Sheet3!G6/Sheet2!E6</f>
        <v>0.17857142857142858</v>
      </c>
      <c r="E6">
        <f t="shared" si="0"/>
        <v>4.4642857142857144E-2</v>
      </c>
      <c r="F6" t="str">
        <f t="shared" si="1"/>
        <v>Low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0F5F-F945-4FA6-B483-82EDA0EA51A0}">
  <dimension ref="A1:B7"/>
  <sheetViews>
    <sheetView tabSelected="1" workbookViewId="0">
      <selection activeCell="C7" sqref="C7"/>
    </sheetView>
  </sheetViews>
  <sheetFormatPr defaultRowHeight="15"/>
  <cols>
    <col min="1" max="1" width="30.42578125" customWidth="1"/>
  </cols>
  <sheetData>
    <row r="1" spans="1:2">
      <c r="A1" t="s">
        <v>80</v>
      </c>
      <c r="B1" t="s">
        <v>81</v>
      </c>
    </row>
    <row r="2" spans="1:2">
      <c r="A2" t="s">
        <v>82</v>
      </c>
      <c r="B2">
        <f>AVERAGE(Sheet2!D2:D6)</f>
        <v>5</v>
      </c>
    </row>
    <row r="3" spans="1:2">
      <c r="A3" t="s">
        <v>83</v>
      </c>
      <c r="B3">
        <f>AVERAGE(Sheet3!D2:D6)+AVERAGE(Sheet3!G2:G6)</f>
        <v>12.2</v>
      </c>
    </row>
    <row r="4" spans="1:2">
      <c r="A4" t="s">
        <v>84</v>
      </c>
      <c r="B4">
        <f>AVERAGE(Sheet4!F2:F16)</f>
        <v>23.333333333333332</v>
      </c>
    </row>
    <row r="5" spans="1:2">
      <c r="A5" t="s">
        <v>77</v>
      </c>
      <c r="B5">
        <f>AVERAGE(Sheet4!H2:H16)</f>
        <v>0.11012958243298845</v>
      </c>
    </row>
    <row r="6" spans="1:2">
      <c r="A6" t="s">
        <v>85</v>
      </c>
      <c r="B6" s="4">
        <v>3.7400000000000003E-2</v>
      </c>
    </row>
    <row r="7" spans="1:2">
      <c r="A7" t="s">
        <v>86</v>
      </c>
      <c r="B7">
        <v>6.4479999999999996E-2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2026-07-28T03:03:10Z</dcterms:created>
  <dcterms:modified xsi:type="dcterms:W3CDTF">2026-08-18T11:49:56Z</dcterms:modified>
  <cp:category/>
  <cp:contentStatus/>
</cp:coreProperties>
</file>